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04-Stu_GradeBook\Unsolved\"/>
    </mc:Choice>
  </mc:AlternateContent>
  <xr:revisionPtr revIDLastSave="0" documentId="13_ncr:1_{CC216D69-5E19-437E-A905-1C0E688BDC5D}" xr6:coauthVersionLast="47" xr6:coauthVersionMax="47" xr10:uidLastSave="{00000000-0000-0000-0000-000000000000}"/>
  <bookViews>
    <workbookView xWindow="36915" yWindow="240" windowWidth="20550" windowHeight="31305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" i="1" a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<sst xmlns="http://schemas.openxmlformats.org/spreadsheetml/2006/main" count="33" uniqueCount="32">
  <si>
    <t>Student Name</t>
  </si>
  <si>
    <t>Midterm Exam</t>
  </si>
  <si>
    <t>Midterm Paper</t>
  </si>
  <si>
    <t>Final Exam</t>
  </si>
  <si>
    <t>Final Paper</t>
  </si>
  <si>
    <t>Final Grade</t>
  </si>
  <si>
    <t>Letter Grade</t>
  </si>
  <si>
    <t>Pass/Fail</t>
  </si>
  <si>
    <t>Perrine Imesson</t>
  </si>
  <si>
    <t>Jordana Wrigglesworth</t>
  </si>
  <si>
    <t>Leonie Tschiersch</t>
  </si>
  <si>
    <t>Odella Margetson</t>
  </si>
  <si>
    <t>Ruddy Speight</t>
  </si>
  <si>
    <t>Leticia Piechnik</t>
  </si>
  <si>
    <t>Desi Garwill</t>
  </si>
  <si>
    <t>Lodovico Suter</t>
  </si>
  <si>
    <t>Elvira Lynock</t>
  </si>
  <si>
    <t>Bella Pucker</t>
  </si>
  <si>
    <t>Manya Deelay</t>
  </si>
  <si>
    <t>Cherise Bartoloma</t>
  </si>
  <si>
    <t>Alonzo Luten</t>
  </si>
  <si>
    <t>Yancey O'Dyvoie</t>
  </si>
  <si>
    <t>Ermanno Doulton</t>
  </si>
  <si>
    <t>Anne Bustard</t>
  </si>
  <si>
    <t>Vida Arrol</t>
  </si>
  <si>
    <t>Kurtis Ockenden</t>
  </si>
  <si>
    <t>Darya Ashley</t>
  </si>
  <si>
    <t>Gabriella Papa</t>
  </si>
  <si>
    <t>Shivani Kumar</t>
  </si>
  <si>
    <t>Haruto Tanaka</t>
  </si>
  <si>
    <t>Mei Tan</t>
  </si>
  <si>
    <t>Iolana Akamai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</si>
</sst>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28" sqref="B28"/>
    </sheetView>
  </sheetViews>
  <sheetFormatPr defaultColWidth="8.85546875" defaultRowHeight="15" x14ac:dyDescent="0.25"/>
  <cols>
    <col min="1" max="1" width="20.7109375" customWidth="1"/>
    <col min="2" max="5" width="15.7109375" customWidth="1"/>
    <col min="6" max="10" width="20.7109375" customWidth="1"/>
  </cols>
  <sheetData>
    <row r="1" spans="1: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6</v>
      </c>
    </row>
    <row r="2" spans="1:9" x14ac:dyDescent="0.25">
      <c r="A2" s="3" t="s">
        <v>8</v>
      </c>
      <c r="B2" s="4">
        <v>60</v>
      </c>
      <c r="C2" s="4">
        <v>93</v>
      </c>
      <c r="D2" s="4">
        <v>71</v>
      </c>
      <c r="E2" s="4">
        <v>73</v>
      </c>
      <c r="F2" s="2">
        <f>AVERAGE(B2:E2)</f>
        <v>74.25</v>
      </c>
      <c r="G2" t="str">
        <f>IF(F2&gt;=60,"Pass","Fail")</f>
        <v>Pass</v>
      </c>
      <c r="H2" t="str">
        <f>IF(F2&gt;=90,"A",IF(F2&gt;=80,"B",IF(F2&gt;=70,"C",IF(F2&gt;=60,"D","F"))))</f>
        <v>C</v>
      </c>
      <c r="I2" t="str" cm="1">
        <f t="array" ref="I2">_xlfn.IFS(F2&gt;=90,"A",F2&gt;=80,"B",F2&gt;=70,"C",F2&gt;=60,"D",F2&gt;=0,"F")</f>
        <v>C</v>
      </c>
    </row>
    <row r="3" spans="1:9" x14ac:dyDescent="0.25">
      <c r="A3" s="3" t="s">
        <v>30</v>
      </c>
      <c r="B3" s="4">
        <v>93</v>
      </c>
      <c r="C3" s="4">
        <v>73</v>
      </c>
      <c r="D3" s="4">
        <v>82</v>
      </c>
      <c r="E3" s="4">
        <v>75</v>
      </c>
      <c r="F3" s="2">
        <f t="shared" ref="F3:F25" si="0">AVERAGE(B3:E3)</f>
        <v>80.75</v>
      </c>
      <c r="G3" t="str">
        <f t="shared" ref="G3:G25" si="1">IF(F3&gt;=60,"Pass","Fail")</f>
        <v>Pass</v>
      </c>
      <c r="H3" t="str">
        <f t="shared" ref="H3:H25" si="2">IF(F3&gt;=90,"A",IF(F3&gt;=80,"B",IF(F3&gt;=70,"C",IF(F3&gt;=60,"D","F"))))</f>
        <v>B</v>
      </c>
      <c r="I3" t="str" cm="1">
        <f t="array" ref="I3">_xlfn.IFS(F3&gt;=90,"A",F3&gt;=80,"B",F3&gt;=70,"C",F3&gt;=60,"D",F3&gt;=0,"F")</f>
        <v>B</v>
      </c>
    </row>
    <row r="4" spans="1:9" x14ac:dyDescent="0.25">
      <c r="A4" s="3" t="s">
        <v>9</v>
      </c>
      <c r="B4" s="4">
        <v>60</v>
      </c>
      <c r="C4" s="4">
        <v>79</v>
      </c>
      <c r="D4" s="4">
        <v>75</v>
      </c>
      <c r="E4" s="4">
        <v>97</v>
      </c>
      <c r="F4" s="2">
        <f t="shared" si="0"/>
        <v>77.75</v>
      </c>
      <c r="G4" t="str">
        <f t="shared" si="1"/>
        <v>Pass</v>
      </c>
      <c r="H4" t="str">
        <f t="shared" si="2"/>
        <v>C</v>
      </c>
      <c r="I4" t="str" cm="1">
        <f t="array" ref="I4">_xlfn.IFS(F4&gt;=90,"A",F4&gt;=80,"B",F4&gt;=70,"C",F4&gt;=60,"D",F4&gt;=0,"F")</f>
        <v>C</v>
      </c>
    </row>
    <row r="5" spans="1:9" x14ac:dyDescent="0.25">
      <c r="A5" s="3" t="s">
        <v>29</v>
      </c>
      <c r="B5" s="4">
        <v>63</v>
      </c>
      <c r="C5" s="4">
        <v>58</v>
      </c>
      <c r="D5" s="4">
        <v>82</v>
      </c>
      <c r="E5" s="4">
        <v>49</v>
      </c>
      <c r="F5" s="2">
        <f t="shared" si="0"/>
        <v>63</v>
      </c>
      <c r="G5" t="str">
        <f t="shared" si="1"/>
        <v>Pass</v>
      </c>
      <c r="H5" t="str">
        <f t="shared" si="2"/>
        <v>D</v>
      </c>
      <c r="I5" t="str" cm="1">
        <f t="array" ref="I5">_xlfn.IFS(F5&gt;=90,"A",F5&gt;=80,"B",F5&gt;=70,"C",F5&gt;=60,"D",F5&gt;=0,"F")</f>
        <v>D</v>
      </c>
    </row>
    <row r="6" spans="1:9" x14ac:dyDescent="0.25">
      <c r="A6" s="3" t="s">
        <v>10</v>
      </c>
      <c r="B6" s="4">
        <v>59</v>
      </c>
      <c r="C6" s="4">
        <v>91</v>
      </c>
      <c r="D6" s="4">
        <v>64</v>
      </c>
      <c r="E6" s="4">
        <v>56</v>
      </c>
      <c r="F6" s="2">
        <f t="shared" si="0"/>
        <v>67.5</v>
      </c>
      <c r="G6" t="str">
        <f t="shared" si="1"/>
        <v>Pass</v>
      </c>
      <c r="H6" t="str">
        <f t="shared" si="2"/>
        <v>D</v>
      </c>
      <c r="I6" t="str" cm="1">
        <f t="array" ref="I6">_xlfn.IFS(F6&gt;=90,"A",F6&gt;=80,"B",F6&gt;=70,"C",F6&gt;=60,"D",F6&gt;=0,"F")</f>
        <v>D</v>
      </c>
    </row>
    <row r="7" spans="1:9" x14ac:dyDescent="0.25">
      <c r="A7" s="3" t="s">
        <v>11</v>
      </c>
      <c r="B7" s="4">
        <v>43</v>
      </c>
      <c r="C7" s="4">
        <v>42</v>
      </c>
      <c r="D7" s="4">
        <v>95</v>
      </c>
      <c r="E7" s="4">
        <v>50</v>
      </c>
      <c r="F7" s="2">
        <f t="shared" si="0"/>
        <v>57.5</v>
      </c>
      <c r="G7" t="str">
        <f t="shared" si="1"/>
        <v>Fail</v>
      </c>
      <c r="H7" t="str">
        <f t="shared" si="2"/>
        <v>F</v>
      </c>
      <c r="I7" t="str" cm="1">
        <f t="array" ref="I7">_xlfn.IFS(F7&gt;=90,"A",F7&gt;=80,"B",F7&gt;=70,"C",F7&gt;=60,"D",F7&gt;=0,"F")</f>
        <v>F</v>
      </c>
    </row>
    <row r="8" spans="1:9" x14ac:dyDescent="0.25">
      <c r="A8" s="3" t="s">
        <v>12</v>
      </c>
      <c r="B8" s="4">
        <v>81</v>
      </c>
      <c r="C8" s="4">
        <v>96</v>
      </c>
      <c r="D8" s="4">
        <v>42</v>
      </c>
      <c r="E8" s="4">
        <v>68</v>
      </c>
      <c r="F8" s="2">
        <f t="shared" si="0"/>
        <v>71.75</v>
      </c>
      <c r="G8" t="str">
        <f t="shared" si="1"/>
        <v>Pass</v>
      </c>
      <c r="H8" t="str">
        <f t="shared" si="2"/>
        <v>C</v>
      </c>
      <c r="I8" t="str" cm="1">
        <f t="array" ref="I8">_xlfn.IFS(F8&gt;=90,"A",F8&gt;=80,"B",F8&gt;=70,"C",F8&gt;=60,"D",F8&gt;=0,"F")</f>
        <v>C</v>
      </c>
    </row>
    <row r="9" spans="1:9" x14ac:dyDescent="0.25">
      <c r="A9" s="3" t="s">
        <v>13</v>
      </c>
      <c r="B9" s="4">
        <v>100</v>
      </c>
      <c r="C9" s="4">
        <v>95</v>
      </c>
      <c r="D9" s="4">
        <v>94</v>
      </c>
      <c r="E9" s="4">
        <v>89</v>
      </c>
      <c r="F9" s="2">
        <f t="shared" si="0"/>
        <v>94.5</v>
      </c>
      <c r="G9" t="str">
        <f t="shared" si="1"/>
        <v>Pass</v>
      </c>
      <c r="H9" t="str">
        <f t="shared" si="2"/>
        <v>A</v>
      </c>
      <c r="I9" t="str" cm="1">
        <f t="array" ref="I9">_xlfn.IFS(F9&gt;=90,"A",F9&gt;=80,"B",F9&gt;=70,"C",F9&gt;=60,"D",F9&gt;=0,"F")</f>
        <v>A</v>
      </c>
    </row>
    <row r="10" spans="1:9" x14ac:dyDescent="0.25">
      <c r="A10" s="3" t="s">
        <v>14</v>
      </c>
      <c r="B10" s="4">
        <v>89</v>
      </c>
      <c r="C10" s="4">
        <v>92</v>
      </c>
      <c r="D10" s="4">
        <v>71</v>
      </c>
      <c r="E10" s="4">
        <v>93</v>
      </c>
      <c r="F10" s="2">
        <f t="shared" si="0"/>
        <v>86.25</v>
      </c>
      <c r="G10" t="str">
        <f t="shared" si="1"/>
        <v>Pass</v>
      </c>
      <c r="H10" t="str">
        <f t="shared" si="2"/>
        <v>B</v>
      </c>
      <c r="I10" t="str" cm="1">
        <f t="array" ref="I10">_xlfn.IFS(F10&gt;=90,"A",F10&gt;=80,"B",F10&gt;=70,"C",F10&gt;=60,"D",F10&gt;=0,"F")</f>
        <v>B</v>
      </c>
    </row>
    <row r="11" spans="1:9" x14ac:dyDescent="0.25">
      <c r="A11" s="3" t="s">
        <v>15</v>
      </c>
      <c r="B11" s="4">
        <v>55</v>
      </c>
      <c r="C11" s="4">
        <v>83</v>
      </c>
      <c r="D11" s="4">
        <v>79</v>
      </c>
      <c r="E11" s="4">
        <v>45</v>
      </c>
      <c r="F11" s="2">
        <f t="shared" si="0"/>
        <v>65.5</v>
      </c>
      <c r="G11" t="str">
        <f t="shared" si="1"/>
        <v>Pass</v>
      </c>
      <c r="H11" t="str">
        <f t="shared" si="2"/>
        <v>D</v>
      </c>
      <c r="I11" t="str" cm="1">
        <f t="array" ref="I11">_xlfn.IFS(F11&gt;=90,"A",F11&gt;=80,"B",F11&gt;=70,"C",F11&gt;=60,"D",F11&gt;=0,"F")</f>
        <v>D</v>
      </c>
    </row>
    <row r="12" spans="1:9" x14ac:dyDescent="0.25">
      <c r="A12" s="3" t="s">
        <v>16</v>
      </c>
      <c r="B12" s="4">
        <v>58</v>
      </c>
      <c r="C12" s="4">
        <v>93</v>
      </c>
      <c r="D12" s="4">
        <v>57</v>
      </c>
      <c r="E12" s="4">
        <v>94</v>
      </c>
      <c r="F12" s="2">
        <f t="shared" si="0"/>
        <v>75.5</v>
      </c>
      <c r="G12" t="str">
        <f t="shared" si="1"/>
        <v>Pass</v>
      </c>
      <c r="H12" t="str">
        <f t="shared" si="2"/>
        <v>C</v>
      </c>
      <c r="I12" t="str" cm="1">
        <f t="array" ref="I12">_xlfn.IFS(F12&gt;=90,"A",F12&gt;=80,"B",F12&gt;=70,"C",F12&gt;=60,"D",F12&gt;=0,"F")</f>
        <v>C</v>
      </c>
    </row>
    <row r="13" spans="1:9" x14ac:dyDescent="0.25">
      <c r="A13" s="3" t="s">
        <v>17</v>
      </c>
      <c r="B13" s="4">
        <v>53</v>
      </c>
      <c r="C13" s="4">
        <v>49</v>
      </c>
      <c r="D13" s="4">
        <v>94</v>
      </c>
      <c r="E13" s="4">
        <v>87</v>
      </c>
      <c r="F13" s="2">
        <f t="shared" si="0"/>
        <v>70.75</v>
      </c>
      <c r="G13" t="str">
        <f t="shared" si="1"/>
        <v>Pass</v>
      </c>
      <c r="H13" t="str">
        <f t="shared" si="2"/>
        <v>C</v>
      </c>
      <c r="I13" t="str" cm="1">
        <f t="array" ref="I13">_xlfn.IFS(F13&gt;=90,"A",F13&gt;=80,"B",F13&gt;=70,"C",F13&gt;=60,"D",F13&gt;=0,"F")</f>
        <v>C</v>
      </c>
    </row>
    <row r="14" spans="1:9" x14ac:dyDescent="0.25">
      <c r="A14" s="3" t="s">
        <v>18</v>
      </c>
      <c r="B14" s="4">
        <v>89</v>
      </c>
      <c r="C14" s="4">
        <v>88</v>
      </c>
      <c r="D14" s="4">
        <v>69</v>
      </c>
      <c r="E14" s="4">
        <v>98</v>
      </c>
      <c r="F14" s="2">
        <f t="shared" si="0"/>
        <v>86</v>
      </c>
      <c r="G14" t="str">
        <f t="shared" si="1"/>
        <v>Pass</v>
      </c>
      <c r="H14" t="str">
        <f t="shared" si="2"/>
        <v>B</v>
      </c>
      <c r="I14" t="str" cm="1">
        <f t="array" ref="I14">_xlfn.IFS(F14&gt;=90,"A",F14&gt;=80,"B",F14&gt;=70,"C",F14&gt;=60,"D",F14&gt;=0,"F")</f>
        <v>B</v>
      </c>
    </row>
    <row r="15" spans="1:9" x14ac:dyDescent="0.25">
      <c r="A15" s="3" t="s">
        <v>19</v>
      </c>
      <c r="B15" s="4">
        <v>46</v>
      </c>
      <c r="C15" s="4">
        <v>48</v>
      </c>
      <c r="D15" s="4">
        <v>94</v>
      </c>
      <c r="E15" s="4">
        <v>91</v>
      </c>
      <c r="F15" s="2">
        <f t="shared" si="0"/>
        <v>69.75</v>
      </c>
      <c r="G15" t="str">
        <f t="shared" si="1"/>
        <v>Pass</v>
      </c>
      <c r="H15" t="str">
        <f t="shared" si="2"/>
        <v>D</v>
      </c>
      <c r="I15" t="str" cm="1">
        <f t="array" ref="I15">_xlfn.IFS(F15&gt;=90,"A",F15&gt;=80,"B",F15&gt;=70,"C",F15&gt;=60,"D",F15&gt;=0,"F")</f>
        <v>D</v>
      </c>
    </row>
    <row r="16" spans="1:9" x14ac:dyDescent="0.25">
      <c r="A16" s="3" t="s">
        <v>20</v>
      </c>
      <c r="B16" s="4">
        <v>99</v>
      </c>
      <c r="C16" s="4">
        <v>81</v>
      </c>
      <c r="D16" s="4">
        <v>51</v>
      </c>
      <c r="E16" s="4">
        <v>91</v>
      </c>
      <c r="F16" s="2">
        <f t="shared" si="0"/>
        <v>80.5</v>
      </c>
      <c r="G16" t="str">
        <f t="shared" si="1"/>
        <v>Pass</v>
      </c>
      <c r="H16" t="str">
        <f t="shared" si="2"/>
        <v>B</v>
      </c>
      <c r="I16" t="str" cm="1">
        <f t="array" ref="I16">_xlfn.IFS(F16&gt;=90,"A",F16&gt;=80,"B",F16&gt;=70,"C",F16&gt;=60,"D",F16&gt;=0,"F")</f>
        <v>B</v>
      </c>
    </row>
    <row r="17" spans="1:9" x14ac:dyDescent="0.25">
      <c r="A17" s="3" t="s">
        <v>31</v>
      </c>
      <c r="B17" s="4">
        <v>96</v>
      </c>
      <c r="C17" s="4">
        <v>83</v>
      </c>
      <c r="D17" s="4">
        <v>99</v>
      </c>
      <c r="E17" s="4">
        <v>93</v>
      </c>
      <c r="F17" s="2">
        <f t="shared" si="0"/>
        <v>92.75</v>
      </c>
      <c r="G17" t="str">
        <f t="shared" si="1"/>
        <v>Pass</v>
      </c>
      <c r="H17" t="str">
        <f t="shared" si="2"/>
        <v>A</v>
      </c>
      <c r="I17" t="str" cm="1">
        <f t="array" ref="I17">_xlfn.IFS(F17&gt;=90,"A",F17&gt;=80,"B",F17&gt;=70,"C",F17&gt;=60,"D",F17&gt;=0,"F")</f>
        <v>A</v>
      </c>
    </row>
    <row r="18" spans="1:9" x14ac:dyDescent="0.25">
      <c r="A18" s="3" t="s">
        <v>21</v>
      </c>
      <c r="B18" s="4">
        <v>44</v>
      </c>
      <c r="C18" s="4">
        <v>59</v>
      </c>
      <c r="D18" s="4">
        <v>61</v>
      </c>
      <c r="E18" s="4">
        <v>48</v>
      </c>
      <c r="F18" s="2">
        <f t="shared" si="0"/>
        <v>53</v>
      </c>
      <c r="G18" t="str">
        <f t="shared" si="1"/>
        <v>Fail</v>
      </c>
      <c r="H18" t="str">
        <f t="shared" si="2"/>
        <v>F</v>
      </c>
      <c r="I18" t="str" cm="1">
        <f t="array" ref="I18">_xlfn.IFS(F18&gt;=90,"A",F18&gt;=80,"B",F18&gt;=70,"C",F18&gt;=60,"D",F18&gt;=0,"F")</f>
        <v>F</v>
      </c>
    </row>
    <row r="19" spans="1:9" x14ac:dyDescent="0.25">
      <c r="A19" s="3" t="s">
        <v>22</v>
      </c>
      <c r="B19" s="4">
        <v>50</v>
      </c>
      <c r="C19" s="4">
        <v>80</v>
      </c>
      <c r="D19" s="4">
        <v>84</v>
      </c>
      <c r="E19" s="4">
        <v>96</v>
      </c>
      <c r="F19" s="2">
        <f t="shared" si="0"/>
        <v>77.5</v>
      </c>
      <c r="G19" t="str">
        <f t="shared" si="1"/>
        <v>Pass</v>
      </c>
      <c r="H19" t="str">
        <f t="shared" si="2"/>
        <v>C</v>
      </c>
      <c r="I19" t="str" cm="1">
        <f t="array" ref="I19">_xlfn.IFS(F19&gt;=90,"A",F19&gt;=80,"B",F19&gt;=70,"C",F19&gt;=60,"D",F19&gt;=0,"F")</f>
        <v>C</v>
      </c>
    </row>
    <row r="20" spans="1:9" x14ac:dyDescent="0.25">
      <c r="A20" s="3" t="s">
        <v>23</v>
      </c>
      <c r="B20" s="4">
        <v>49</v>
      </c>
      <c r="C20" s="4">
        <v>77</v>
      </c>
      <c r="D20" s="4">
        <v>62</v>
      </c>
      <c r="E20" s="4">
        <v>84</v>
      </c>
      <c r="F20" s="2">
        <f t="shared" si="0"/>
        <v>68</v>
      </c>
      <c r="G20" t="str">
        <f t="shared" si="1"/>
        <v>Pass</v>
      </c>
      <c r="H20" t="str">
        <f t="shared" si="2"/>
        <v>D</v>
      </c>
      <c r="I20" t="str" cm="1">
        <f t="array" ref="I20">_xlfn.IFS(F20&gt;=90,"A",F20&gt;=80,"B",F20&gt;=70,"C",F20&gt;=60,"D",F20&gt;=0,"F")</f>
        <v>D</v>
      </c>
    </row>
    <row r="21" spans="1:9" x14ac:dyDescent="0.25">
      <c r="A21" s="3" t="s">
        <v>24</v>
      </c>
      <c r="B21" s="4">
        <v>45</v>
      </c>
      <c r="C21" s="4">
        <v>83</v>
      </c>
      <c r="D21" s="4">
        <v>70</v>
      </c>
      <c r="E21" s="4">
        <v>65</v>
      </c>
      <c r="F21" s="2">
        <f t="shared" si="0"/>
        <v>65.75</v>
      </c>
      <c r="G21" t="str">
        <f t="shared" si="1"/>
        <v>Pass</v>
      </c>
      <c r="H21" t="str">
        <f t="shared" si="2"/>
        <v>D</v>
      </c>
      <c r="I21" t="str" cm="1">
        <f t="array" ref="I21">_xlfn.IFS(F21&gt;=90,"A",F21&gt;=80,"B",F21&gt;=70,"C",F21&gt;=60,"D",F21&gt;=0,"F")</f>
        <v>D</v>
      </c>
    </row>
    <row r="22" spans="1:9" x14ac:dyDescent="0.25">
      <c r="A22" s="3" t="s">
        <v>25</v>
      </c>
      <c r="B22" s="4">
        <v>43</v>
      </c>
      <c r="C22" s="4">
        <v>62</v>
      </c>
      <c r="D22" s="4">
        <v>60</v>
      </c>
      <c r="E22" s="4">
        <v>71</v>
      </c>
      <c r="F22" s="2">
        <f t="shared" si="0"/>
        <v>59</v>
      </c>
      <c r="G22" t="str">
        <f t="shared" si="1"/>
        <v>Fail</v>
      </c>
      <c r="H22" t="str">
        <f t="shared" si="2"/>
        <v>F</v>
      </c>
      <c r="I22" t="str" cm="1">
        <f t="array" ref="I22">_xlfn.IFS(F22&gt;=90,"A",F22&gt;=80,"B",F22&gt;=70,"C",F22&gt;=60,"D",F22&gt;=0,"F")</f>
        <v>F</v>
      </c>
    </row>
    <row r="23" spans="1:9" x14ac:dyDescent="0.25">
      <c r="A23" s="3" t="s">
        <v>26</v>
      </c>
      <c r="B23" s="4">
        <v>54</v>
      </c>
      <c r="C23" s="4">
        <v>50</v>
      </c>
      <c r="D23" s="4">
        <v>92</v>
      </c>
      <c r="E23" s="4">
        <v>52</v>
      </c>
      <c r="F23" s="2">
        <f t="shared" si="0"/>
        <v>62</v>
      </c>
      <c r="G23" t="str">
        <f t="shared" si="1"/>
        <v>Pass</v>
      </c>
      <c r="H23" t="str">
        <f t="shared" si="2"/>
        <v>D</v>
      </c>
      <c r="I23" t="str" cm="1">
        <f t="array" ref="I23">_xlfn.IFS(F23&gt;=90,"A",F23&gt;=80,"B",F23&gt;=70,"C",F23&gt;=60,"D",F23&gt;=0,"F")</f>
        <v>D</v>
      </c>
    </row>
    <row r="24" spans="1:9" x14ac:dyDescent="0.25">
      <c r="A24" s="3" t="s">
        <v>28</v>
      </c>
      <c r="B24" s="4">
        <v>96</v>
      </c>
      <c r="C24" s="4">
        <v>96</v>
      </c>
      <c r="D24" s="4">
        <v>70</v>
      </c>
      <c r="E24" s="4">
        <v>98</v>
      </c>
      <c r="F24" s="2">
        <f t="shared" si="0"/>
        <v>90</v>
      </c>
      <c r="G24" t="str">
        <f t="shared" si="1"/>
        <v>Pass</v>
      </c>
      <c r="H24" t="str">
        <f t="shared" si="2"/>
        <v>A</v>
      </c>
      <c r="I24" t="str" cm="1">
        <f t="array" ref="I24">_xlfn.IFS(F24&gt;=90,"A",F24&gt;=80,"B",F24&gt;=70,"C",F24&gt;=60,"D",F24&gt;=0,"F")</f>
        <v>A</v>
      </c>
    </row>
    <row r="25" spans="1:9" x14ac:dyDescent="0.25">
      <c r="A25" s="3" t="s">
        <v>27</v>
      </c>
      <c r="B25" s="4">
        <v>59</v>
      </c>
      <c r="C25" s="4">
        <v>66</v>
      </c>
      <c r="D25" s="4">
        <v>49</v>
      </c>
      <c r="E25" s="4">
        <v>98</v>
      </c>
      <c r="F25" s="2">
        <f t="shared" si="0"/>
        <v>68</v>
      </c>
      <c r="G25" t="str">
        <f t="shared" si="1"/>
        <v>Pass</v>
      </c>
      <c r="H25" t="str">
        <f t="shared" si="2"/>
        <v>D</v>
      </c>
      <c r="I25" t="str" cm="1">
        <f t="array" ref="I25">_xlfn.IFS(F25&gt;=90,"A",F25&gt;=80,"B",F25&gt;=70,"C",F25&gt;=60,"D",F25&gt;=0,"F")</f>
        <v>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2017-05-10T17:29:27Z</dcterms:created>
  <dcterms:modified xsi:type="dcterms:W3CDTF">2024-03-27T00:06:31Z</dcterms:modified>
  <cp:category/>
</cp:coreProperties>
</file>